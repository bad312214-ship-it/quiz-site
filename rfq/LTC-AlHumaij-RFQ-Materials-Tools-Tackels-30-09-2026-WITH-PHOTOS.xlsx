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ntcon-my.sharepoint.com/personal/shafeeq_s_lntecc_com/Documents/DOCUMENTS/one drive/Desktop/REQUIREMENT/IMRAN/PSS - GROUTING/"/>
    </mc:Choice>
  </mc:AlternateContent>
  <xr:revisionPtr revIDLastSave="2" documentId="13_ncr:1_{C9412B8A-20F2-4255-B162-2758AC66B225}" xr6:coauthVersionLast="47" xr6:coauthVersionMax="47" xr10:uidLastSave="{853936D1-BDCE-455C-9435-2F0537D7D2FA}"/>
  <bookViews>
    <workbookView xWindow="-110" yWindow="-110" windowWidth="19420" windowHeight="10300" xr2:uid="{AB66FE1E-3174-49DF-8FAF-1BB297686EBE}"/>
  </bookViews>
  <sheets>
    <sheet name="Sheet1" sheetId="2" r:id="rId1"/>
    <sheet name="Total Rungs Required Qty.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2" l="1"/>
  <c r="F10" i="1"/>
  <c r="F9" i="1"/>
  <c r="C13" i="1"/>
  <c r="F13" i="1"/>
  <c r="F12" i="1"/>
  <c r="F11" i="1"/>
  <c r="F8" i="1"/>
  <c r="F7" i="1"/>
  <c r="F6" i="1"/>
  <c r="F5" i="1"/>
  <c r="F4" i="1"/>
  <c r="F3" i="1"/>
  <c r="F19" i="1" s="1"/>
</calcChain>
</file>

<file path=xl/sharedStrings.xml><?xml version="1.0" encoding="utf-8"?>
<sst xmlns="http://schemas.openxmlformats.org/spreadsheetml/2006/main" count="60" uniqueCount="49">
  <si>
    <t>Sl#</t>
  </si>
  <si>
    <t>Descreption</t>
  </si>
  <si>
    <t>UOM</t>
  </si>
  <si>
    <t>QTY</t>
  </si>
  <si>
    <t>Photos</t>
  </si>
  <si>
    <t>Nos</t>
  </si>
  <si>
    <t>White Clear Silicon</t>
  </si>
  <si>
    <t>NOS</t>
  </si>
  <si>
    <t xml:space="preserve">Anti Slip Aluminium Stair corner strip </t>
  </si>
  <si>
    <t>RM</t>
  </si>
  <si>
    <t>Steel Rungs with PVC Coated</t>
  </si>
  <si>
    <t>nos</t>
  </si>
  <si>
    <t>SikaGrout 114</t>
  </si>
  <si>
    <t>Sika Anchore Fix 2+ Trpical</t>
  </si>
  <si>
    <t>Masking Tape 2''</t>
  </si>
  <si>
    <t>BOX</t>
  </si>
  <si>
    <t>9" Roller with handle</t>
  </si>
  <si>
    <t>4" Roller with handle</t>
  </si>
  <si>
    <t xml:space="preserve">Nitobond </t>
  </si>
  <si>
    <t>lit</t>
  </si>
  <si>
    <t>Polythene Sheet</t>
  </si>
  <si>
    <t>roll</t>
  </si>
  <si>
    <t>Expansion Joint Plate Anti Slip Aluminium  (150mm width )</t>
  </si>
  <si>
    <t>rm</t>
  </si>
  <si>
    <t xml:space="preserve">Room Signage </t>
  </si>
  <si>
    <t>Sl. No.</t>
  </si>
  <si>
    <t>Structure Name</t>
  </si>
  <si>
    <t>Total No.</t>
  </si>
  <si>
    <t>Height of wall (mm)</t>
  </si>
  <si>
    <t>Rungs Spacing</t>
  </si>
  <si>
    <t>Total Rungs Required Qty.</t>
  </si>
  <si>
    <t>Picture for Referance</t>
  </si>
  <si>
    <t>Remarks</t>
  </si>
  <si>
    <t>MAN HOLES - 1 (TYP.)</t>
  </si>
  <si>
    <t>300 mm</t>
  </si>
  <si>
    <t>MAN HOLES - 1A (TYP.)</t>
  </si>
  <si>
    <t>MAN HOLES - 2</t>
  </si>
  <si>
    <t>MAN HOLES - 3</t>
  </si>
  <si>
    <t>PUL PIT - 1 (TYP.)</t>
  </si>
  <si>
    <t>NIPS MAN HOLES -</t>
  </si>
  <si>
    <t xml:space="preserve">NIPS TANKS </t>
  </si>
  <si>
    <t>SEWRAGE MAN HOLES 1,2, 3</t>
  </si>
  <si>
    <t>200MM</t>
  </si>
  <si>
    <t>PTR Sumpit</t>
  </si>
  <si>
    <t>ET&amp;AT Sumpit</t>
  </si>
  <si>
    <t>N-P</t>
  </si>
  <si>
    <t>Fire Pump room TRENCH</t>
  </si>
  <si>
    <t>Total Rungs  Qty.</t>
  </si>
  <si>
    <t>20mm dia. Glavanised Steel Rungs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</si>
</sst>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1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Img1" Type="http://schemas.openxmlformats.org/officeDocument/2006/relationships/image" Target="../media/final2.jpg"/><Relationship Id="rIdImg2" Type="http://schemas.openxmlformats.org/officeDocument/2006/relationships/image" Target="../media/final3.jpg"/><Relationship Id="rIdImg3" Type="http://schemas.openxmlformats.org/officeDocument/2006/relationships/image" Target="../media/final4.jpg"/><Relationship Id="rIdImg4" Type="http://schemas.openxmlformats.org/officeDocument/2006/relationships/image" Target="../media/final5.jpg"/><Relationship Id="rIdImg5" Type="http://schemas.openxmlformats.org/officeDocument/2006/relationships/image" Target="../media/final6.jpg"/><Relationship Id="rIdImg6" Type="http://schemas.openxmlformats.org/officeDocument/2006/relationships/image" Target="../media/final7.jpg"/><Relationship Id="rIdImg7" Type="http://schemas.openxmlformats.org/officeDocument/2006/relationships/image" Target="../media/final8.jpg"/><Relationship Id="rIdImg8" Type="http://schemas.openxmlformats.org/officeDocument/2006/relationships/image" Target="../media/final9.jpg"/><Relationship Id="rIdImg9" Type="http://schemas.openxmlformats.org/officeDocument/2006/relationships/image" Target="../media/final10.jpg"/><Relationship Id="rIdImg10" Type="http://schemas.openxmlformats.org/officeDocument/2006/relationships/image" Target="../media/final11.jpg"/><Relationship Id="rIdImg11" Type="http://schemas.openxmlformats.org/officeDocument/2006/relationships/image" Target="../media/final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241654</xdr:colOff>
      <xdr:row>4</xdr:row>
      <xdr:rowOff>41349</xdr:rowOff>
    </xdr:from>
    <xdr:to>
      <xdr:col>6</xdr:col>
      <xdr:colOff>3365500</xdr:colOff>
      <xdr:row>13</xdr:row>
      <xdr:rowOff>144992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6359C5-3DDD-4A0C-8427-7FA18E256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4210" y="1269016"/>
          <a:ext cx="3123846" cy="17546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390525</xdr:colOff>
      <xdr:row>1</xdr:row>
      <xdr:rowOff>38100</xdr:rowOff>
    </xdr:from>
    <xdr:ext cx="1190625" cy="1028700"/>
    <xdr:pic>
      <xdr:nvPicPr>
        <xdr:cNvPr id="1" name="Photo_2" descr="Photo for row 2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1190625" cy="1028700"/>
        </a:xfrm>
        <a:prstGeom prst="rect">
          <a:avLst/>
        </a:prstGeom>
      </xdr:spPr>
    </xdr:pic>
    <xdr:clientData/>
  </xdr:oneCellAnchor>
  <xdr:oneCellAnchor>
    <xdr:from>
      <xdr:col>4</xdr:col>
      <xdr:colOff>476250</xdr:colOff>
      <xdr:row>2</xdr:row>
      <xdr:rowOff>38100</xdr:rowOff>
    </xdr:from>
    <xdr:ext cx="1019175" cy="981075"/>
    <xdr:pic>
      <xdr:nvPicPr>
        <xdr:cNvPr id="2" name="Photo_3" descr="Photo for row 3"/>
        <xdr:cNvPicPr>
          <a:picLocks noChangeAspect="1"/>
        </xdr:cNvPicPr>
      </xdr:nvPicPr>
      <xdr:blipFill>
        <a:blip r:embed="rIdImg2"/>
        <a:stretch>
          <a:fillRect/>
        </a:stretch>
      </xdr:blipFill>
      <xdr:spPr>
        <a:xfrm>
          <a:off x="0" y="0"/>
          <a:ext cx="1019175" cy="9810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3</xdr:row>
      <xdr:rowOff>38100</xdr:rowOff>
    </xdr:from>
    <xdr:ext cx="1428750" cy="1028700"/>
    <xdr:pic>
      <xdr:nvPicPr>
        <xdr:cNvPr id="3" name="Photo_4" descr="Photo for row 4"/>
        <xdr:cNvPicPr>
          <a:picLocks noChangeAspect="1"/>
        </xdr:cNvPicPr>
      </xdr:nvPicPr>
      <xdr:blipFill>
        <a:blip r:embed="rIdImg3"/>
        <a:stretch>
          <a:fillRect/>
        </a:stretch>
      </xdr:blipFill>
      <xdr:spPr>
        <a:xfrm>
          <a:off x="0" y="0"/>
          <a:ext cx="1428750" cy="1028700"/>
        </a:xfrm>
        <a:prstGeom prst="rect">
          <a:avLst/>
        </a:prstGeom>
      </xdr:spPr>
    </xdr:pic>
    <xdr:clientData/>
  </xdr:oneCellAnchor>
  <xdr:oneCellAnchor>
    <xdr:from>
      <xdr:col>4</xdr:col>
      <xdr:colOff>323850</xdr:colOff>
      <xdr:row>4</xdr:row>
      <xdr:rowOff>38100</xdr:rowOff>
    </xdr:from>
    <xdr:ext cx="1314450" cy="1533525"/>
    <xdr:pic>
      <xdr:nvPicPr>
        <xdr:cNvPr id="4" name="Photo_5" descr="Photo for row 5"/>
        <xdr:cNvPicPr>
          <a:picLocks noChangeAspect="1"/>
        </xdr:cNvPicPr>
      </xdr:nvPicPr>
      <xdr:blipFill>
        <a:blip r:embed="rIdImg4"/>
        <a:stretch>
          <a:fillRect/>
        </a:stretch>
      </xdr:blipFill>
      <xdr:spPr>
        <a:xfrm>
          <a:off x="0" y="0"/>
          <a:ext cx="1314450" cy="1533525"/>
        </a:xfrm>
        <a:prstGeom prst="rect">
          <a:avLst/>
        </a:prstGeom>
      </xdr:spPr>
    </xdr:pic>
    <xdr:clientData/>
  </xdr:oneCellAnchor>
  <xdr:oneCellAnchor>
    <xdr:from>
      <xdr:col>4</xdr:col>
      <xdr:colOff>590550</xdr:colOff>
      <xdr:row>5</xdr:row>
      <xdr:rowOff>38100</xdr:rowOff>
    </xdr:from>
    <xdr:ext cx="781050" cy="1600200"/>
    <xdr:pic>
      <xdr:nvPicPr>
        <xdr:cNvPr id="5" name="Photo_6" descr="Photo for row 6"/>
        <xdr:cNvPicPr>
          <a:picLocks noChangeAspect="1"/>
        </xdr:cNvPicPr>
      </xdr:nvPicPr>
      <xdr:blipFill>
        <a:blip r:embed="rIdImg5"/>
        <a:stretch>
          <a:fillRect/>
        </a:stretch>
      </xdr:blipFill>
      <xdr:spPr>
        <a:xfrm>
          <a:off x="0" y="0"/>
          <a:ext cx="781050" cy="160020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6</xdr:row>
      <xdr:rowOff>38100</xdr:rowOff>
    </xdr:from>
    <xdr:ext cx="1457325" cy="1314450"/>
    <xdr:pic>
      <xdr:nvPicPr>
        <xdr:cNvPr id="6" name="Photo_7" descr="Photo for row 7"/>
        <xdr:cNvPicPr>
          <a:picLocks noChangeAspect="1"/>
        </xdr:cNvPicPr>
      </xdr:nvPicPr>
      <xdr:blipFill>
        <a:blip r:embed="rIdImg6"/>
        <a:stretch>
          <a:fillRect/>
        </a:stretch>
      </xdr:blipFill>
      <xdr:spPr>
        <a:xfrm>
          <a:off x="0" y="0"/>
          <a:ext cx="1457325" cy="1314450"/>
        </a:xfrm>
        <a:prstGeom prst="rect">
          <a:avLst/>
        </a:prstGeom>
      </xdr:spPr>
    </xdr:pic>
    <xdr:clientData/>
  </xdr:oneCellAnchor>
  <xdr:oneCellAnchor>
    <xdr:from>
      <xdr:col>4</xdr:col>
      <xdr:colOff>419100</xdr:colOff>
      <xdr:row>7</xdr:row>
      <xdr:rowOff>38100</xdr:rowOff>
    </xdr:from>
    <xdr:ext cx="1133475" cy="1323975"/>
    <xdr:pic>
      <xdr:nvPicPr>
        <xdr:cNvPr id="7" name="Photo_8" descr="Photo for row 8"/>
        <xdr:cNvPicPr>
          <a:picLocks noChangeAspect="1"/>
        </xdr:cNvPicPr>
      </xdr:nvPicPr>
      <xdr:blipFill>
        <a:blip r:embed="rIdImg7"/>
        <a:stretch>
          <a:fillRect/>
        </a:stretch>
      </xdr:blipFill>
      <xdr:spPr>
        <a:xfrm>
          <a:off x="0" y="0"/>
          <a:ext cx="1133475" cy="1323975"/>
        </a:xfrm>
        <a:prstGeom prst="rect">
          <a:avLst/>
        </a:prstGeom>
      </xdr:spPr>
    </xdr:pic>
    <xdr:clientData/>
  </xdr:oneCellAnchor>
  <xdr:oneCellAnchor>
    <xdr:from>
      <xdr:col>4</xdr:col>
      <xdr:colOff>514350</xdr:colOff>
      <xdr:row>8</xdr:row>
      <xdr:rowOff>38100</xdr:rowOff>
    </xdr:from>
    <xdr:ext cx="933450" cy="1323975"/>
    <xdr:pic>
      <xdr:nvPicPr>
        <xdr:cNvPr id="8" name="Photo_9" descr="Photo for row 9"/>
        <xdr:cNvPicPr>
          <a:picLocks noChangeAspect="1"/>
        </xdr:cNvPicPr>
      </xdr:nvPicPr>
      <xdr:blipFill>
        <a:blip r:embed="rIdImg8"/>
        <a:stretch>
          <a:fillRect/>
        </a:stretch>
      </xdr:blipFill>
      <xdr:spPr>
        <a:xfrm>
          <a:off x="0" y="0"/>
          <a:ext cx="933450" cy="1323975"/>
        </a:xfrm>
        <a:prstGeom prst="rect">
          <a:avLst/>
        </a:prstGeom>
      </xdr:spPr>
    </xdr:pic>
    <xdr:clientData/>
  </xdr:oneCellAnchor>
  <xdr:oneCellAnchor>
    <xdr:from>
      <xdr:col>4</xdr:col>
      <xdr:colOff>409575</xdr:colOff>
      <xdr:row>9</xdr:row>
      <xdr:rowOff>38100</xdr:rowOff>
    </xdr:from>
    <xdr:ext cx="1152525" cy="1266825"/>
    <xdr:pic>
      <xdr:nvPicPr>
        <xdr:cNvPr id="9" name="Photo_10" descr="Photo for row 10"/>
        <xdr:cNvPicPr>
          <a:picLocks noChangeAspect="1"/>
        </xdr:cNvPicPr>
      </xdr:nvPicPr>
      <xdr:blipFill>
        <a:blip r:embed="rIdImg9"/>
        <a:stretch>
          <a:fillRect/>
        </a:stretch>
      </xdr:blipFill>
      <xdr:spPr>
        <a:xfrm>
          <a:off x="0" y="0"/>
          <a:ext cx="1152525" cy="126682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10</xdr:row>
      <xdr:rowOff>38100</xdr:rowOff>
    </xdr:from>
    <xdr:ext cx="1428750" cy="1371600"/>
    <xdr:pic>
      <xdr:nvPicPr>
        <xdr:cNvPr id="10" name="Photo_11" descr="Photo for row 11"/>
        <xdr:cNvPicPr>
          <a:picLocks noChangeAspect="1"/>
        </xdr:cNvPicPr>
      </xdr:nvPicPr>
      <xdr:blipFill>
        <a:blip r:embed="rIdImg10"/>
        <a:stretch>
          <a:fillRect/>
        </a:stretch>
      </xdr:blipFill>
      <xdr:spPr>
        <a:xfrm>
          <a:off x="0" y="0"/>
          <a:ext cx="1428750" cy="1371600"/>
        </a:xfrm>
        <a:prstGeom prst="rect">
          <a:avLst/>
        </a:prstGeom>
      </xdr:spPr>
    </xdr:pic>
    <xdr:clientData/>
  </xdr:oneCellAnchor>
  <xdr:oneCellAnchor>
    <xdr:from>
      <xdr:col>4</xdr:col>
      <xdr:colOff>333375</xdr:colOff>
      <xdr:row>11</xdr:row>
      <xdr:rowOff>38100</xdr:rowOff>
    </xdr:from>
    <xdr:ext cx="1295400" cy="1371600"/>
    <xdr:pic>
      <xdr:nvPicPr>
        <xdr:cNvPr id="11" name="Photo_12" descr="Photo for row 12"/>
        <xdr:cNvPicPr>
          <a:picLocks noChangeAspect="1"/>
        </xdr:cNvPicPr>
      </xdr:nvPicPr>
      <xdr:blipFill>
        <a:blip r:embed="rIdImg11"/>
        <a:stretch>
          <a:fillRect/>
        </a:stretch>
      </xdr:blipFill>
      <xdr:spPr>
        <a:xfrm>
          <a:off x="0" y="0"/>
          <a:ext cx="1295400" cy="1371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Drw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FC15-C4DE-439B-8270-093DA35F2470}">
  <dimension ref="A1:E13"/>
  <sheetViews>
    <sheetView tabSelected="1" workbookViewId="0">
      <selection activeCell="H2" sqref="H2"/>
    </sheetView>
  </sheetViews>
  <sheetFormatPr defaultRowHeight="14.5" x14ac:dyDescent="0.35"/>
  <cols>
    <col min="1" max="1" width="6.81640625" style="21" customWidth="1"/>
    <col min="2" max="2" width="40.1796875" style="20" customWidth="1"/>
    <col min="3" max="3" width="9.54296875" style="21" customWidth="1"/>
    <col min="4" max="4" width="12.453125" style="21" customWidth="1"/>
    <col min="5" max="5" width="28.81640625" customWidth="1"/>
  </cols>
  <sheetData>
    <row r="1" spans="1:5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 ht="87" customHeight="1" x14ac:dyDescent="0.35">
      <c r="A2" s="2">
        <v>2</v>
      </c>
      <c r="B2" s="19" t="s">
        <v>6</v>
      </c>
      <c r="C2" s="2" t="s">
        <v>7</v>
      </c>
      <c r="D2" s="2">
        <v>100</v>
      </c>
      <c r="E2" s="18"/>
    </row>
    <row r="3" spans="1:5" ht="83.5" customHeight="1" x14ac:dyDescent="0.35">
      <c r="A3" s="2">
        <v>3</v>
      </c>
      <c r="B3" s="19" t="s">
        <v>8</v>
      </c>
      <c r="C3" s="2" t="s">
        <v>9</v>
      </c>
      <c r="D3" s="2">
        <v>300</v>
      </c>
      <c r="E3" s="3"/>
    </row>
    <row r="4" spans="1:5" ht="87.65" customHeight="1" x14ac:dyDescent="0.35">
      <c r="A4" s="2">
        <v>4</v>
      </c>
      <c r="B4" s="19" t="s">
        <v>10</v>
      </c>
      <c r="C4" s="2" t="s">
        <v>11</v>
      </c>
      <c r="D4" s="2">
        <f>'Total Rungs Required Qty.'!F19</f>
        <v>694</v>
      </c>
      <c r="E4" s="3"/>
    </row>
    <row r="5" spans="1:5" ht="127" customHeight="1" x14ac:dyDescent="0.35">
      <c r="A5" s="2">
        <v>5</v>
      </c>
      <c r="B5" s="19" t="s">
        <v>12</v>
      </c>
      <c r="C5" s="2" t="s">
        <v>5</v>
      </c>
      <c r="D5" s="2">
        <v>3000</v>
      </c>
      <c r="E5" s="3"/>
    </row>
    <row r="6" spans="1:5" ht="132" customHeight="1" x14ac:dyDescent="0.35">
      <c r="A6" s="2">
        <v>6</v>
      </c>
      <c r="B6" s="19" t="s">
        <v>13</v>
      </c>
      <c r="C6" s="2" t="s">
        <v>5</v>
      </c>
      <c r="D6" s="2">
        <v>200</v>
      </c>
      <c r="E6" s="3"/>
    </row>
    <row r="7" spans="1:5" ht="109.5" customHeight="1" x14ac:dyDescent="0.35">
      <c r="A7" s="2">
        <v>9</v>
      </c>
      <c r="B7" s="19" t="s">
        <v>14</v>
      </c>
      <c r="C7" s="2" t="s">
        <v>15</v>
      </c>
      <c r="D7" s="2">
        <v>10</v>
      </c>
      <c r="E7" s="3"/>
    </row>
    <row r="8" spans="1:5" ht="110.5" customHeight="1" x14ac:dyDescent="0.35">
      <c r="A8" s="2">
        <v>10</v>
      </c>
      <c r="B8" s="19" t="s">
        <v>16</v>
      </c>
      <c r="C8" s="2" t="s">
        <v>5</v>
      </c>
      <c r="D8" s="2">
        <v>50</v>
      </c>
      <c r="E8" s="3"/>
    </row>
    <row r="9" spans="1:5" ht="110.5" customHeight="1" x14ac:dyDescent="0.35">
      <c r="A9" s="2">
        <v>11</v>
      </c>
      <c r="B9" s="19" t="s">
        <v>17</v>
      </c>
      <c r="C9" s="2" t="s">
        <v>5</v>
      </c>
      <c r="D9" s="2">
        <v>100</v>
      </c>
      <c r="E9" s="3"/>
    </row>
    <row r="10" spans="1:5" ht="106" customHeight="1" x14ac:dyDescent="0.35">
      <c r="A10" s="2">
        <v>11</v>
      </c>
      <c r="B10" s="19" t="s">
        <v>18</v>
      </c>
      <c r="C10" s="2" t="s">
        <v>19</v>
      </c>
      <c r="D10" s="2">
        <v>500</v>
      </c>
      <c r="E10" s="18"/>
    </row>
    <row r="11" spans="1:5" ht="114" customHeight="1" x14ac:dyDescent="0.35">
      <c r="A11" s="2">
        <v>12</v>
      </c>
      <c r="B11" s="19" t="s">
        <v>20</v>
      </c>
      <c r="C11" s="2" t="s">
        <v>21</v>
      </c>
      <c r="D11" s="2">
        <v>25</v>
      </c>
      <c r="E11" s="18"/>
    </row>
    <row r="12" spans="1:5" ht="114" customHeight="1" x14ac:dyDescent="0.35">
      <c r="A12" s="2">
        <v>13</v>
      </c>
      <c r="B12" s="22" t="s">
        <v>22</v>
      </c>
      <c r="C12" s="2" t="s">
        <v>23</v>
      </c>
      <c r="D12" s="2">
        <v>300</v>
      </c>
      <c r="E12" s="18"/>
    </row>
    <row r="13" spans="1:5" ht="15.65" customHeight="1" x14ac:dyDescent="0.4">
      <c r="A13" s="23"/>
      <c r="B13" s="24" t="s">
        <v>24</v>
      </c>
      <c r="C13" s="23"/>
      <c r="D13" s="23"/>
      <c r="E13" s="25"/>
    </row>
  </sheetData>
  <phoneticPr fontId="2" type="noConversion"/>
  <pageMargins left="0.7" right="0.7" top="0.75" bottom="0.75" header="0.3" footer="0.3"/>
  <pageSetup orientation="portrait" verticalDpi="0" r:id="rId1"/>
  <drawing r:id="rIdDrw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0F59-1E4A-4BE7-8984-B537AA5766CA}">
  <dimension ref="A1:H25"/>
  <sheetViews>
    <sheetView topLeftCell="A2" zoomScale="90" zoomScaleNormal="90" workbookViewId="0">
      <selection activeCell="K6" sqref="K6"/>
    </sheetView>
  </sheetViews>
  <sheetFormatPr defaultRowHeight="14.5" x14ac:dyDescent="0.35"/>
  <cols>
    <col min="1" max="1" width="6.7265625" style="1" customWidth="1"/>
    <col min="2" max="2" width="27.54296875" customWidth="1"/>
    <col min="3" max="3" width="8.81640625" style="1" customWidth="1"/>
    <col min="4" max="4" width="14" customWidth="1"/>
    <col min="5" max="5" width="13.1796875" style="1" customWidth="1"/>
    <col min="6" max="6" width="14.26953125" style="1" customWidth="1"/>
    <col min="7" max="7" width="51.81640625" customWidth="1"/>
    <col min="8" max="8" width="11.1796875" bestFit="1" customWidth="1"/>
  </cols>
  <sheetData>
    <row r="1" spans="1:8" ht="15" thickBot="1" x14ac:dyDescent="0.4"/>
    <row r="2" spans="1:8" ht="53.15" customHeight="1" x14ac:dyDescent="0.35">
      <c r="A2" s="14" t="s">
        <v>25</v>
      </c>
      <c r="B2" s="15" t="s">
        <v>26</v>
      </c>
      <c r="C2" s="15" t="s">
        <v>27</v>
      </c>
      <c r="D2" s="15" t="s">
        <v>28</v>
      </c>
      <c r="E2" s="15" t="s">
        <v>29</v>
      </c>
      <c r="F2" s="15" t="s">
        <v>30</v>
      </c>
      <c r="G2" s="15" t="s">
        <v>31</v>
      </c>
      <c r="H2" s="13" t="s">
        <v>32</v>
      </c>
    </row>
    <row r="3" spans="1:8" ht="14.5" customHeight="1" x14ac:dyDescent="0.35">
      <c r="A3" s="4">
        <v>1</v>
      </c>
      <c r="B3" s="3" t="s">
        <v>33</v>
      </c>
      <c r="C3" s="2">
        <v>6</v>
      </c>
      <c r="D3" s="2">
        <v>1900</v>
      </c>
      <c r="E3" s="2" t="s">
        <v>34</v>
      </c>
      <c r="F3" s="2">
        <f>6*6</f>
        <v>36</v>
      </c>
      <c r="G3" s="29"/>
      <c r="H3" s="5"/>
    </row>
    <row r="4" spans="1:8" ht="14.5" customHeight="1" x14ac:dyDescent="0.35">
      <c r="A4" s="4">
        <v>2</v>
      </c>
      <c r="B4" s="3" t="s">
        <v>35</v>
      </c>
      <c r="C4" s="2">
        <v>3</v>
      </c>
      <c r="D4" s="2">
        <v>1250</v>
      </c>
      <c r="E4" s="2" t="s">
        <v>34</v>
      </c>
      <c r="F4" s="2">
        <f>3*4</f>
        <v>12</v>
      </c>
      <c r="G4" s="30"/>
      <c r="H4" s="5"/>
    </row>
    <row r="5" spans="1:8" ht="14.5" customHeight="1" x14ac:dyDescent="0.35">
      <c r="A5" s="4">
        <v>3</v>
      </c>
      <c r="B5" s="3" t="s">
        <v>36</v>
      </c>
      <c r="C5" s="2">
        <v>1</v>
      </c>
      <c r="D5" s="2">
        <v>1900</v>
      </c>
      <c r="E5" s="2" t="s">
        <v>34</v>
      </c>
      <c r="F5" s="2">
        <f>1*6</f>
        <v>6</v>
      </c>
      <c r="G5" s="30"/>
      <c r="H5" s="5"/>
    </row>
    <row r="6" spans="1:8" ht="14.5" customHeight="1" x14ac:dyDescent="0.35">
      <c r="A6" s="4">
        <v>4</v>
      </c>
      <c r="B6" s="3" t="s">
        <v>37</v>
      </c>
      <c r="C6" s="2">
        <v>4</v>
      </c>
      <c r="D6" s="2">
        <v>1700</v>
      </c>
      <c r="E6" s="2" t="s">
        <v>34</v>
      </c>
      <c r="F6" s="2">
        <f>5*4</f>
        <v>20</v>
      </c>
      <c r="G6" s="30"/>
      <c r="H6" s="5"/>
    </row>
    <row r="7" spans="1:8" ht="14.5" customHeight="1" x14ac:dyDescent="0.35">
      <c r="A7" s="4">
        <v>5</v>
      </c>
      <c r="B7" s="3" t="s">
        <v>38</v>
      </c>
      <c r="C7" s="2">
        <v>2</v>
      </c>
      <c r="D7" s="2">
        <v>2000</v>
      </c>
      <c r="E7" s="2" t="s">
        <v>34</v>
      </c>
      <c r="F7" s="2">
        <f>2*7</f>
        <v>14</v>
      </c>
      <c r="G7" s="30"/>
      <c r="H7" s="5"/>
    </row>
    <row r="8" spans="1:8" ht="14.5" customHeight="1" x14ac:dyDescent="0.35">
      <c r="A8" s="4">
        <v>6</v>
      </c>
      <c r="B8" s="3" t="s">
        <v>38</v>
      </c>
      <c r="C8" s="2">
        <v>8</v>
      </c>
      <c r="D8" s="2">
        <v>2000</v>
      </c>
      <c r="E8" s="2" t="s">
        <v>34</v>
      </c>
      <c r="F8" s="2">
        <f>8*7</f>
        <v>56</v>
      </c>
      <c r="G8" s="30"/>
      <c r="H8" s="5"/>
    </row>
    <row r="9" spans="1:8" ht="14.5" customHeight="1" x14ac:dyDescent="0.35">
      <c r="A9" s="4">
        <v>7</v>
      </c>
      <c r="B9" s="3" t="s">
        <v>39</v>
      </c>
      <c r="C9" s="2">
        <v>8</v>
      </c>
      <c r="D9" s="2">
        <v>2895</v>
      </c>
      <c r="E9" s="2" t="s">
        <v>34</v>
      </c>
      <c r="F9" s="2">
        <f>8*9</f>
        <v>72</v>
      </c>
      <c r="G9" s="30"/>
      <c r="H9" s="5"/>
    </row>
    <row r="10" spans="1:8" ht="14.5" customHeight="1" x14ac:dyDescent="0.35">
      <c r="A10" s="4">
        <v>10</v>
      </c>
      <c r="B10" s="3" t="s">
        <v>40</v>
      </c>
      <c r="C10" s="2">
        <v>2</v>
      </c>
      <c r="D10" s="2">
        <v>2100</v>
      </c>
      <c r="E10" s="2" t="s">
        <v>34</v>
      </c>
      <c r="F10" s="2">
        <f>2*16</f>
        <v>32</v>
      </c>
      <c r="G10" s="30"/>
      <c r="H10" s="5"/>
    </row>
    <row r="11" spans="1:8" ht="14.5" customHeight="1" x14ac:dyDescent="0.35">
      <c r="A11" s="8">
        <v>11</v>
      </c>
      <c r="B11" s="9" t="s">
        <v>41</v>
      </c>
      <c r="C11" s="10">
        <v>3</v>
      </c>
      <c r="D11" s="10">
        <v>540</v>
      </c>
      <c r="E11" s="10" t="s">
        <v>42</v>
      </c>
      <c r="F11" s="10">
        <f>3*2</f>
        <v>6</v>
      </c>
      <c r="G11" s="30"/>
      <c r="H11" s="11"/>
    </row>
    <row r="12" spans="1:8" ht="14.5" customHeight="1" x14ac:dyDescent="0.35">
      <c r="A12" s="2">
        <v>12</v>
      </c>
      <c r="B12" s="3" t="s">
        <v>43</v>
      </c>
      <c r="C12" s="2">
        <v>16</v>
      </c>
      <c r="D12" s="2">
        <v>2300</v>
      </c>
      <c r="E12" s="2"/>
      <c r="F12" s="2">
        <f>12*C12</f>
        <v>192</v>
      </c>
      <c r="G12" s="30"/>
      <c r="H12" s="11"/>
    </row>
    <row r="13" spans="1:8" ht="14.5" customHeight="1" x14ac:dyDescent="0.35">
      <c r="A13" s="8">
        <v>13</v>
      </c>
      <c r="B13" s="3" t="s">
        <v>44</v>
      </c>
      <c r="C13" s="2">
        <f>3+16</f>
        <v>19</v>
      </c>
      <c r="D13" s="2">
        <v>2300</v>
      </c>
      <c r="E13" s="2"/>
      <c r="F13" s="2">
        <f>12*C13</f>
        <v>228</v>
      </c>
      <c r="G13" s="30"/>
      <c r="H13" s="11"/>
    </row>
    <row r="14" spans="1:8" ht="14.5" customHeight="1" x14ac:dyDescent="0.35">
      <c r="A14" s="2">
        <v>14</v>
      </c>
      <c r="B14" s="3" t="s">
        <v>45</v>
      </c>
      <c r="C14" s="2">
        <v>1</v>
      </c>
      <c r="D14" s="2">
        <v>2700</v>
      </c>
      <c r="E14" s="2"/>
      <c r="F14" s="2">
        <v>10</v>
      </c>
      <c r="G14" s="30"/>
      <c r="H14" s="11"/>
    </row>
    <row r="15" spans="1:8" ht="14.5" customHeight="1" x14ac:dyDescent="0.35">
      <c r="A15" s="8">
        <v>15</v>
      </c>
      <c r="B15" s="3" t="s">
        <v>46</v>
      </c>
      <c r="C15" s="2">
        <v>2</v>
      </c>
      <c r="D15" s="2">
        <v>1500</v>
      </c>
      <c r="E15" s="2"/>
      <c r="F15" s="2">
        <v>10</v>
      </c>
      <c r="G15" s="30"/>
      <c r="H15" s="11"/>
    </row>
    <row r="16" spans="1:8" ht="14.5" customHeight="1" x14ac:dyDescent="0.35">
      <c r="A16" s="16"/>
      <c r="B16" s="3"/>
      <c r="C16" s="2"/>
      <c r="D16" s="2"/>
      <c r="E16" s="2"/>
      <c r="F16" s="2"/>
      <c r="G16" s="30"/>
      <c r="H16" s="11"/>
    </row>
    <row r="17" spans="1:8" ht="14.5" customHeight="1" x14ac:dyDescent="0.35">
      <c r="A17" s="16"/>
      <c r="B17" s="3"/>
      <c r="C17" s="2"/>
      <c r="D17" s="2"/>
      <c r="E17" s="2"/>
      <c r="F17" s="2"/>
      <c r="G17" s="30"/>
      <c r="H17" s="11"/>
    </row>
    <row r="18" spans="1:8" ht="14.5" customHeight="1" x14ac:dyDescent="0.35">
      <c r="A18" s="2"/>
      <c r="B18" s="3"/>
      <c r="C18" s="2"/>
      <c r="D18" s="2"/>
      <c r="E18" s="2"/>
      <c r="F18" s="2"/>
      <c r="G18" s="31"/>
      <c r="H18" s="11"/>
    </row>
    <row r="19" spans="1:8" ht="19" thickBot="1" x14ac:dyDescent="0.4">
      <c r="A19" s="26" t="s">
        <v>47</v>
      </c>
      <c r="B19" s="27"/>
      <c r="C19" s="27"/>
      <c r="D19" s="27"/>
      <c r="E19" s="28"/>
      <c r="F19" s="12">
        <f>SUM(F3:F15)</f>
        <v>694</v>
      </c>
      <c r="G19" s="6"/>
      <c r="H19" s="7"/>
    </row>
    <row r="25" spans="1:8" x14ac:dyDescent="0.35">
      <c r="G25" s="2" t="s">
        <v>48</v>
      </c>
    </row>
  </sheetData>
  <mergeCells count="2">
    <mergeCell ref="A19:E19"/>
    <mergeCell ref="G3:G18"/>
  </mergeCells>
  <phoneticPr fontId="2" type="noConversion"/>
  <pageMargins left="0.7" right="0.7" top="0.75" bottom="0.75" header="0.3" footer="0.3"/>
  <headerFooter>
    <oddFooter>&amp;L_x000D_&amp;1#&amp;"Aptos"&amp;8&amp;K000000 Sensitivity: LNT Construction Internal Use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5727F2-9103-459D-9763-72B4BE56D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876EF40-46A9-46DE-BA58-5952E6FF64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BE8D63-568D-4BFC-AE78-7DF4DDB541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Total Rungs Required Qty.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ANWARUL HAQUE</dc:creator>
  <cp:keywords/>
  <dc:description/>
  <cp:lastModifiedBy>SHAFEEQ SHAJAHAN</cp:lastModifiedBy>
  <cp:revision/>
  <cp:lastPrinted>2026-10-26T11:12:51Z</cp:lastPrinted>
  <dcterms:created xsi:type="dcterms:W3CDTF">2026-09-27T11:09:40Z</dcterms:created>
  <dcterms:modified xsi:type="dcterms:W3CDTF">2026-10-26T11:15:44Z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2026-09-27T12:02:13Z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d9f42cf8-7094-4456-ba51-5fc038ef8d54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